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6895a1b51cf8bd/Documents/"/>
    </mc:Choice>
  </mc:AlternateContent>
  <xr:revisionPtr revIDLastSave="9" documentId="8_{4C29512D-E99A-4C4C-BCFF-D5480500B367}" xr6:coauthVersionLast="47" xr6:coauthVersionMax="47" xr10:uidLastSave="{72523E83-26CB-4034-82D6-9F935357B0C3}"/>
  <bookViews>
    <workbookView xWindow="-90" yWindow="0" windowWidth="9780" windowHeight="10170" xr2:uid="{90869B1C-B88A-406A-BDA9-0884AF45365F}"/>
  </bookViews>
  <sheets>
    <sheet name="Documents" sheetId="1" r:id="rId1"/>
    <sheet name="Master_Data" sheetId="3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B5" i="2" l="1"/>
  <c r="B4" i="2"/>
  <c r="B3" i="2"/>
</calcChain>
</file>

<file path=xl/sharedStrings.xml><?xml version="1.0" encoding="utf-8"?>
<sst xmlns="http://schemas.openxmlformats.org/spreadsheetml/2006/main" count="67" uniqueCount="52">
  <si>
    <t>No</t>
  </si>
  <si>
    <t>Status</t>
  </si>
  <si>
    <t>SIUP</t>
  </si>
  <si>
    <t>SIUP-001/2022</t>
  </si>
  <si>
    <t>Legal</t>
  </si>
  <si>
    <t>TDP</t>
  </si>
  <si>
    <t>TDP-014/2021</t>
  </si>
  <si>
    <t>NPWP Perusahaan</t>
  </si>
  <si>
    <t>NPWP-88901</t>
  </si>
  <si>
    <t>Finance</t>
  </si>
  <si>
    <t>Izin Operasional</t>
  </si>
  <si>
    <t>OPS-112/2023</t>
  </si>
  <si>
    <t>Operasional</t>
  </si>
  <si>
    <t>Sertifikat ISO 9001</t>
  </si>
  <si>
    <t>ISO-9001-2022</t>
  </si>
  <si>
    <t>Quality</t>
  </si>
  <si>
    <t>Kontrak Vendor A</t>
  </si>
  <si>
    <t>CTR-VND-045</t>
  </si>
  <si>
    <t>Procurement</t>
  </si>
  <si>
    <t>Kontrak Vendor B</t>
  </si>
  <si>
    <t>CTR-VND-078</t>
  </si>
  <si>
    <t>Perjanjian Sewa Gedung</t>
  </si>
  <si>
    <t>SEWA-019</t>
  </si>
  <si>
    <t>General Affairs</t>
  </si>
  <si>
    <t>Sertifikat K3</t>
  </si>
  <si>
    <t>K3-2023-11</t>
  </si>
  <si>
    <t>HR</t>
  </si>
  <si>
    <t>Kontrak Karyawan Tetap</t>
  </si>
  <si>
    <t>EMP-FT-221</t>
  </si>
  <si>
    <t>Sertifikat Pajak Tahunan</t>
  </si>
  <si>
    <t>TAX-2023</t>
  </si>
  <si>
    <t>Izin Lingkungan</t>
  </si>
  <si>
    <t>ENV-332</t>
  </si>
  <si>
    <t>Perjanjian Kerja Sama</t>
  </si>
  <si>
    <t>PKS-099</t>
  </si>
  <si>
    <t>Business</t>
  </si>
  <si>
    <t>Sertifikat Hak Merek</t>
  </si>
  <si>
    <t>TM-77821</t>
  </si>
  <si>
    <t>Kontrak IT Support</t>
  </si>
  <si>
    <t>IT-CTR-556</t>
  </si>
  <si>
    <t>IT</t>
  </si>
  <si>
    <t>Column1</t>
  </si>
  <si>
    <t>Total Dokumen</t>
  </si>
  <si>
    <t>Expired</t>
  </si>
  <si>
    <t>Expiring Soon</t>
  </si>
  <si>
    <t>Valid</t>
  </si>
  <si>
    <t>Column2</t>
  </si>
  <si>
    <t>Document Name</t>
  </si>
  <si>
    <t>Document Number</t>
  </si>
  <si>
    <t>Division</t>
  </si>
  <si>
    <t>Published Date</t>
  </si>
  <si>
    <t>Expired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</si>
</sst>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561C0-5FA4-4AD6-8268-258FC2309B63}" name="Table1" displayName="Table1" ref="A1:G16" totalsRowShown="0">
  <autoFilter ref="A1:G16" xr:uid="{992561C0-5FA4-4AD6-8268-258FC2309B63}"/>
  <tableColumns count="7">
    <tableColumn id="1" xr3:uid="{C9188083-FCDA-4BC2-8B86-2627C61AB077}" name="No"/>
    <tableColumn id="2" xr3:uid="{099D702C-5324-4710-9419-27FE73BAFC1A}" name="Document Name"/>
    <tableColumn id="3" xr3:uid="{D65515ED-115F-4829-AD78-2E26092FAE4D}" name="Document Number"/>
    <tableColumn id="4" xr3:uid="{70930D5C-188F-474A-8745-19B9F8156021}" name="Division"/>
    <tableColumn id="5" xr3:uid="{5B14E134-2518-412E-AAFE-EBA8881F3B51}" name="Published Date"/>
    <tableColumn id="6" xr3:uid="{3FCC1E24-AE9E-4B97-80A9-0A54F4A9B3DB}" name="Expired Date"/>
    <tableColumn id="7" xr3:uid="{C6279976-A655-4D36-A3D3-4AB07CED2895}" name="Status" dataDxfId="0">
      <calculatedColumnFormula>IF(F2="","",IF(F2&lt;TODAY(),"Expired",IF(F2-TODAY()&lt;=30,"Expiring Soon","Valid")))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4BDF2-DFA8-4682-BF4F-16A9F1F27D1D}" name="Table2" displayName="Table2" ref="A1:B5" totalsRowShown="0">
  <autoFilter ref="A1:B5" xr:uid="{59C4BDF2-DFA8-4682-BF4F-16A9F1F27D1D}"/>
  <tableColumns count="2">
    <tableColumn id="1" xr3:uid="{3EEF0CB6-3B2C-4AEB-B587-3DC7776F6ECE}" name="Column1"/>
    <tableColumn id="2" xr3:uid="{991AFDBE-BAC2-4A4B-9001-93ACED76839A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18B4-B508-4E71-8ED1-35E95728CA0F}">
  <dimension ref="A1:G16"/>
  <sheetViews>
    <sheetView tabSelected="1" workbookViewId="0">
      <selection activeCell="F1" sqref="F1"/>
    </sheetView>
  </sheetViews>
  <sheetFormatPr defaultRowHeight="14.5" x14ac:dyDescent="0.35"/>
  <cols>
    <col min="2" max="2" width="16.36328125" customWidth="1"/>
    <col min="3" max="3" width="17.26953125" customWidth="1"/>
    <col min="4" max="4" width="13.7265625" customWidth="1"/>
    <col min="5" max="5" width="14.6328125" customWidth="1"/>
    <col min="6" max="6" width="15.90625" customWidth="1"/>
  </cols>
  <sheetData>
    <row r="1" spans="1:7" x14ac:dyDescent="0.35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1</v>
      </c>
    </row>
    <row r="2" spans="1:7" x14ac:dyDescent="0.35">
      <c r="A2" s="1">
        <v>1</v>
      </c>
      <c r="B2" s="1" t="s">
        <v>2</v>
      </c>
      <c r="C2" s="1" t="s">
        <v>3</v>
      </c>
      <c r="D2" s="1" t="s">
        <v>4</v>
      </c>
      <c r="E2" s="2">
        <v>44593</v>
      </c>
      <c r="F2" s="2">
        <v>46419</v>
      </c>
      <c r="G2" s="1" t="str">
        <f t="shared" ref="G2:G16" ca="1" si="0">IF(F2="","",IF(F2&lt;TODAY(),"Expired",IF(F2-TODAY()&lt;=30,"Expiring Soon","Valid")))</f>
        <v>Valid</v>
      </c>
    </row>
    <row r="3" spans="1:7" ht="29" x14ac:dyDescent="0.35">
      <c r="A3" s="1">
        <v>2</v>
      </c>
      <c r="B3" s="1" t="s">
        <v>5</v>
      </c>
      <c r="C3" s="1" t="s">
        <v>6</v>
      </c>
      <c r="D3" s="1" t="s">
        <v>4</v>
      </c>
      <c r="E3" s="2">
        <v>44270</v>
      </c>
      <c r="F3" s="2">
        <v>46096</v>
      </c>
      <c r="G3" s="1" t="str">
        <f t="shared" ca="1" si="0"/>
        <v>Expiring Soon</v>
      </c>
    </row>
    <row r="4" spans="1:7" x14ac:dyDescent="0.35">
      <c r="A4" s="1">
        <v>3</v>
      </c>
      <c r="B4" s="1" t="s">
        <v>7</v>
      </c>
      <c r="C4" s="1" t="s">
        <v>8</v>
      </c>
      <c r="D4" s="1" t="s">
        <v>9</v>
      </c>
      <c r="E4" s="2">
        <v>43840</v>
      </c>
      <c r="F4" s="2">
        <v>47493</v>
      </c>
      <c r="G4" s="1" t="str">
        <f t="shared" ca="1" si="0"/>
        <v>Valid</v>
      </c>
    </row>
    <row r="5" spans="1:7" x14ac:dyDescent="0.35">
      <c r="A5" s="1">
        <v>4</v>
      </c>
      <c r="B5" s="1" t="s">
        <v>10</v>
      </c>
      <c r="C5" s="1" t="s">
        <v>11</v>
      </c>
      <c r="D5" s="1" t="s">
        <v>12</v>
      </c>
      <c r="E5" s="2">
        <v>45097</v>
      </c>
      <c r="F5" s="2">
        <v>46193</v>
      </c>
      <c r="G5" s="1" t="str">
        <f t="shared" ca="1" si="0"/>
        <v>Valid</v>
      </c>
    </row>
    <row r="6" spans="1:7" x14ac:dyDescent="0.35">
      <c r="A6" s="1">
        <v>5</v>
      </c>
      <c r="B6" s="1" t="s">
        <v>13</v>
      </c>
      <c r="C6" s="1" t="s">
        <v>14</v>
      </c>
      <c r="D6" s="1" t="s">
        <v>15</v>
      </c>
      <c r="E6" s="2">
        <v>44805</v>
      </c>
      <c r="F6" s="2">
        <v>45901</v>
      </c>
      <c r="G6" s="1" t="str">
        <f t="shared" ca="1" si="0"/>
        <v>Expired</v>
      </c>
    </row>
    <row r="7" spans="1:7" x14ac:dyDescent="0.35">
      <c r="A7" s="1">
        <v>6</v>
      </c>
      <c r="B7" s="1" t="s">
        <v>16</v>
      </c>
      <c r="C7" s="1" t="s">
        <v>17</v>
      </c>
      <c r="D7" s="1" t="s">
        <v>18</v>
      </c>
      <c r="E7" s="2">
        <v>45292</v>
      </c>
      <c r="F7" s="2">
        <v>45657</v>
      </c>
      <c r="G7" s="1" t="str">
        <f t="shared" ca="1" si="0"/>
        <v>Expired</v>
      </c>
    </row>
    <row r="8" spans="1:7" x14ac:dyDescent="0.35">
      <c r="A8" s="1">
        <v>7</v>
      </c>
      <c r="B8" s="1" t="s">
        <v>19</v>
      </c>
      <c r="C8" s="1" t="s">
        <v>20</v>
      </c>
      <c r="D8" s="1" t="s">
        <v>18</v>
      </c>
      <c r="E8" s="2">
        <v>45047</v>
      </c>
      <c r="F8" s="2">
        <v>46142</v>
      </c>
      <c r="G8" s="1" t="str">
        <f t="shared" ca="1" si="0"/>
        <v>Valid</v>
      </c>
    </row>
    <row r="9" spans="1:7" ht="29" x14ac:dyDescent="0.35">
      <c r="A9" s="1">
        <v>8</v>
      </c>
      <c r="B9" s="1" t="s">
        <v>21</v>
      </c>
      <c r="C9" s="1" t="s">
        <v>22</v>
      </c>
      <c r="D9" s="1" t="s">
        <v>23</v>
      </c>
      <c r="E9" s="2">
        <v>44743</v>
      </c>
      <c r="F9" s="2">
        <v>45838</v>
      </c>
      <c r="G9" s="1" t="str">
        <f t="shared" ca="1" si="0"/>
        <v>Expired</v>
      </c>
    </row>
    <row r="10" spans="1:7" x14ac:dyDescent="0.35">
      <c r="A10" s="1">
        <v>9</v>
      </c>
      <c r="B10" s="1" t="s">
        <v>24</v>
      </c>
      <c r="C10" s="1" t="s">
        <v>25</v>
      </c>
      <c r="D10" s="1" t="s">
        <v>26</v>
      </c>
      <c r="E10" s="2">
        <v>45240</v>
      </c>
      <c r="F10" s="2">
        <v>45971</v>
      </c>
      <c r="G10" s="1" t="str">
        <f t="shared" ca="1" si="0"/>
        <v>Expired</v>
      </c>
    </row>
    <row r="11" spans="1:7" ht="29" x14ac:dyDescent="0.35">
      <c r="A11" s="1">
        <v>10</v>
      </c>
      <c r="B11" s="1" t="s">
        <v>27</v>
      </c>
      <c r="C11" s="1" t="s">
        <v>28</v>
      </c>
      <c r="D11" s="1" t="s">
        <v>26</v>
      </c>
      <c r="E11" s="2">
        <v>45139</v>
      </c>
      <c r="F11" s="2">
        <v>46234</v>
      </c>
      <c r="G11" s="1" t="str">
        <f t="shared" ca="1" si="0"/>
        <v>Valid</v>
      </c>
    </row>
    <row r="12" spans="1:7" ht="29" x14ac:dyDescent="0.35">
      <c r="A12" s="1">
        <v>11</v>
      </c>
      <c r="B12" s="1" t="s">
        <v>29</v>
      </c>
      <c r="C12" s="1" t="s">
        <v>30</v>
      </c>
      <c r="D12" s="1" t="s">
        <v>9</v>
      </c>
      <c r="E12" s="2">
        <v>44927</v>
      </c>
      <c r="F12" s="2">
        <v>45291</v>
      </c>
      <c r="G12" s="1" t="str">
        <f t="shared" ca="1" si="0"/>
        <v>Expired</v>
      </c>
    </row>
    <row r="13" spans="1:7" x14ac:dyDescent="0.35">
      <c r="A13" s="1">
        <v>12</v>
      </c>
      <c r="B13" s="1" t="s">
        <v>31</v>
      </c>
      <c r="C13" s="1" t="s">
        <v>32</v>
      </c>
      <c r="D13" s="1" t="s">
        <v>4</v>
      </c>
      <c r="E13" s="2">
        <v>44301</v>
      </c>
      <c r="F13" s="2">
        <v>46127</v>
      </c>
      <c r="G13" s="1" t="str">
        <f t="shared" ca="1" si="0"/>
        <v>Valid</v>
      </c>
    </row>
    <row r="14" spans="1:7" ht="29" x14ac:dyDescent="0.35">
      <c r="A14" s="1">
        <v>13</v>
      </c>
      <c r="B14" s="1" t="s">
        <v>33</v>
      </c>
      <c r="C14" s="1" t="s">
        <v>34</v>
      </c>
      <c r="D14" s="1" t="s">
        <v>35</v>
      </c>
      <c r="E14" s="2">
        <v>45352</v>
      </c>
      <c r="F14" s="2">
        <v>46081</v>
      </c>
      <c r="G14" s="1" t="str">
        <f t="shared" ca="1" si="0"/>
        <v>Expiring Soon</v>
      </c>
    </row>
    <row r="15" spans="1:7" ht="29" x14ac:dyDescent="0.35">
      <c r="A15" s="1">
        <v>14</v>
      </c>
      <c r="B15" s="1" t="s">
        <v>36</v>
      </c>
      <c r="C15" s="1" t="s">
        <v>37</v>
      </c>
      <c r="D15" s="1" t="s">
        <v>4</v>
      </c>
      <c r="E15" s="2">
        <v>43748</v>
      </c>
      <c r="F15" s="2">
        <v>47401</v>
      </c>
      <c r="G15" s="1" t="str">
        <f t="shared" ca="1" si="0"/>
        <v>Valid</v>
      </c>
    </row>
    <row r="16" spans="1:7" ht="29" x14ac:dyDescent="0.35">
      <c r="A16" s="1">
        <v>15</v>
      </c>
      <c r="B16" s="1" t="s">
        <v>38</v>
      </c>
      <c r="C16" s="1" t="s">
        <v>39</v>
      </c>
      <c r="D16" s="1" t="s">
        <v>40</v>
      </c>
      <c r="E16" s="2">
        <v>45170</v>
      </c>
      <c r="F16" s="2">
        <v>45900</v>
      </c>
      <c r="G16" s="1" t="str">
        <f t="shared" ca="1" si="0"/>
        <v>Expired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53186E-4760-4BB2-8514-2E610F49A6D9}">
          <x14:formula1>
            <xm:f>Master_Data!A:A</xm:f>
          </x14:formula1>
          <xm:sqref>D2:D16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D318-4CAE-493A-9179-5D2F75ABEDDB}">
  <dimension ref="A1:A9"/>
  <sheetViews>
    <sheetView workbookViewId="0">
      <selection sqref="A1:A9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9</v>
      </c>
    </row>
    <row r="3" spans="1:1" x14ac:dyDescent="0.35">
      <c r="A3" t="s">
        <v>26</v>
      </c>
    </row>
    <row r="4" spans="1:1" x14ac:dyDescent="0.35">
      <c r="A4" t="s">
        <v>40</v>
      </c>
    </row>
    <row r="5" spans="1:1" x14ac:dyDescent="0.35">
      <c r="A5" t="s">
        <v>18</v>
      </c>
    </row>
    <row r="6" spans="1:1" x14ac:dyDescent="0.35">
      <c r="A6" t="s">
        <v>15</v>
      </c>
    </row>
    <row r="7" spans="1:1" x14ac:dyDescent="0.35">
      <c r="A7" t="s">
        <v>12</v>
      </c>
    </row>
    <row r="8" spans="1:1" x14ac:dyDescent="0.35">
      <c r="A8" t="s">
        <v>35</v>
      </c>
    </row>
    <row r="9" spans="1:1" x14ac:dyDescent="0.35">
      <c r="A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2C7F-0C81-42BD-8533-343F77D13FB5}">
  <dimension ref="A1:B5"/>
  <sheetViews>
    <sheetView workbookViewId="0">
      <selection activeCell="D9" sqref="D9"/>
    </sheetView>
  </sheetViews>
  <sheetFormatPr defaultRowHeight="14.5" x14ac:dyDescent="0.35"/>
  <cols>
    <col min="1" max="1" width="14.36328125" customWidth="1"/>
    <col min="2" max="2" width="10.26953125" customWidth="1"/>
  </cols>
  <sheetData>
    <row r="1" spans="1:2" x14ac:dyDescent="0.35">
      <c r="A1" t="s">
        <v>41</v>
      </c>
      <c r="B1" t="s">
        <v>46</v>
      </c>
    </row>
    <row r="2" spans="1:2" x14ac:dyDescent="0.35">
      <c r="A2" t="s">
        <v>42</v>
      </c>
      <c r="B2">
        <f>COUNTA(Documents!B:B)</f>
        <v>16</v>
      </c>
    </row>
    <row r="3" spans="1:2" x14ac:dyDescent="0.35">
      <c r="A3" t="s">
        <v>43</v>
      </c>
      <c r="B3">
        <f ca="1">COUNTIF(Documents!G:G, "Expired")</f>
        <v>6</v>
      </c>
    </row>
    <row r="4" spans="1:2" x14ac:dyDescent="0.35">
      <c r="A4" t="s">
        <v>44</v>
      </c>
      <c r="B4">
        <f ca="1">COUNTIF(Documents!G:G, "Expiring Soon")</f>
        <v>2</v>
      </c>
    </row>
    <row r="5" spans="1:2" x14ac:dyDescent="0.35">
      <c r="A5" t="s">
        <v>45</v>
      </c>
      <c r="B5">
        <f ca="1">COUNTIF(Documents!G:G, "Valid")</f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Documents</vt:lpstr>
      <vt:lpstr>Master_Data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Guwanto</dc:creator>
  <cp:lastModifiedBy>Hana Guwanto</cp:lastModifiedBy>
  <dcterms:created xsi:type="dcterms:W3CDTF">2026-02-14T08:02:36Z</dcterms:created>
  <dcterms:modified xsi:type="dcterms:W3CDTF">2026-02-14T17:08:22Z</dcterms:modified>
</cp:coreProperties>
</file>